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s\Desktop\"/>
    </mc:Choice>
  </mc:AlternateContent>
  <xr:revisionPtr revIDLastSave="0" documentId="8_{CAB4591B-475B-4788-8895-5476363063B2}" xr6:coauthVersionLast="36" xr6:coauthVersionMax="36" xr10:uidLastSave="{00000000-0000-0000-0000-000000000000}"/>
  <bookViews>
    <workbookView xWindow="0" yWindow="0" windowWidth="19200" windowHeight="6810" activeTab="2" xr2:uid="{8D850322-77D7-4764-BEF3-7B4318BD6B9F}"/>
  </bookViews>
  <sheets>
    <sheet name="Relatório de Sensibilidade 1" sheetId="2" r:id="rId1"/>
    <sheet name="Exercicio - Aula 4" sheetId="1" r:id="rId2"/>
    <sheet name="Planilha1 (2)" sheetId="3" r:id="rId3"/>
  </sheets>
  <definedNames>
    <definedName name="solver_adj" localSheetId="1" hidden="1">'Exercicio - Aula 4'!$B$3:$C$3</definedName>
    <definedName name="solver_adj" localSheetId="2" hidden="1">'Planilha1 (2)'!$B$3:$C$3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'Exercicio - Aula 4'!$D$5</definedName>
    <definedName name="solver_lhs1" localSheetId="2" hidden="1">'Planilha1 (2)'!$D$5</definedName>
    <definedName name="solver_lhs2" localSheetId="1" hidden="1">'Exercicio - Aula 4'!$D$6</definedName>
    <definedName name="solver_lhs2" localSheetId="2" hidden="1">'Planilha1 (2)'!$D$6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'Exercicio - Aula 4'!$B$8</definedName>
    <definedName name="solver_opt" localSheetId="2" hidden="1">'Planilha1 (2)'!$B$8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el2" localSheetId="1" hidden="1">1</definedName>
    <definedName name="solver_rel2" localSheetId="2" hidden="1">1</definedName>
    <definedName name="solver_rhs1" localSheetId="1" hidden="1">'Exercicio - Aula 4'!$F$5</definedName>
    <definedName name="solver_rhs1" localSheetId="2" hidden="1">'Planilha1 (2)'!$F$5</definedName>
    <definedName name="solver_rhs2" localSheetId="1" hidden="1">'Exercicio - Aula 4'!$F$6</definedName>
    <definedName name="solver_rhs2" localSheetId="2" hidden="1">'Planilha1 (2)'!$F$6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" l="1"/>
  <c r="B8" i="3"/>
  <c r="D6" i="3"/>
  <c r="D5" i="1"/>
  <c r="D6" i="1"/>
  <c r="B8" i="1"/>
</calcChain>
</file>

<file path=xl/sharedStrings.xml><?xml version="1.0" encoding="utf-8"?>
<sst xmlns="http://schemas.openxmlformats.org/spreadsheetml/2006/main" count="63" uniqueCount="40">
  <si>
    <t>Padrão</t>
  </si>
  <si>
    <t>Mudança</t>
  </si>
  <si>
    <t>max</t>
  </si>
  <si>
    <t>decisão</t>
  </si>
  <si>
    <t>rest</t>
  </si>
  <si>
    <t>papelão</t>
  </si>
  <si>
    <t>homem/h</t>
  </si>
  <si>
    <t>P</t>
  </si>
  <si>
    <t>M</t>
  </si>
  <si>
    <t/>
  </si>
  <si>
    <t>&lt;=</t>
  </si>
  <si>
    <t>Lucro</t>
  </si>
  <si>
    <t>Microsoft Excel 16.0 Relatório de Sensibilidade</t>
  </si>
  <si>
    <t>Planilha: [Pasta1]Planilha1</t>
  </si>
  <si>
    <t>Relatório Criado: 09/03/2026 19:56:21</t>
  </si>
  <si>
    <t>Células Variáveis</t>
  </si>
  <si>
    <t>Célula</t>
  </si>
  <si>
    <t>Nome</t>
  </si>
  <si>
    <t>Final</t>
  </si>
  <si>
    <t>Valor</t>
  </si>
  <si>
    <t>Reduzido</t>
  </si>
  <si>
    <t>Custo</t>
  </si>
  <si>
    <t>Objetivo</t>
  </si>
  <si>
    <t>Coeficiente</t>
  </si>
  <si>
    <t>Permitido</t>
  </si>
  <si>
    <t>Aumentar</t>
  </si>
  <si>
    <t>Reduzir</t>
  </si>
  <si>
    <t>Restrições</t>
  </si>
  <si>
    <t>Sombra</t>
  </si>
  <si>
    <t>Preço</t>
  </si>
  <si>
    <t>Restrição</t>
  </si>
  <si>
    <t>Lateral R.H.</t>
  </si>
  <si>
    <t>$B$3</t>
  </si>
  <si>
    <t>decisão Padrão</t>
  </si>
  <si>
    <t>$C$3</t>
  </si>
  <si>
    <t>decisão Mudança</t>
  </si>
  <si>
    <t>$D$5</t>
  </si>
  <si>
    <t>$D$6</t>
  </si>
  <si>
    <t>De luxo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</si>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</sst>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1" fillId="0" borderId="0" xfId="0" applyFont="1"/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8B50-EBDE-4FC9-845B-73E92C250914}">
  <dimension ref="A1:H16"/>
  <sheetViews>
    <sheetView showGridLines="0" topLeftCell="A7" workbookViewId="0">
      <selection activeCell="G21" sqref="F21:G21"/>
    </sheetView>
  </sheetViews>
  <sheetFormatPr defaultRowHeight="14.5" x14ac:dyDescent="0.35"/>
  <cols>
    <col min="1" max="1" width="2.1796875" customWidth="1"/>
    <col min="2" max="2" width="5.90625" bestFit="1" customWidth="1"/>
    <col min="3" max="3" width="15.453125" bestFit="1" customWidth="1"/>
    <col min="4" max="4" width="5.81640625" bestFit="1" customWidth="1"/>
    <col min="5" max="5" width="8.54296875" bestFit="1" customWidth="1"/>
    <col min="6" max="6" width="10.453125" bestFit="1" customWidth="1"/>
    <col min="7" max="7" width="11.81640625" bestFit="1" customWidth="1"/>
    <col min="8" max="8" width="9.08984375" bestFit="1" customWidth="1"/>
  </cols>
  <sheetData>
    <row r="1" spans="1:8" x14ac:dyDescent="0.35">
      <c r="A1" s="6" t="s">
        <v>12</v>
      </c>
    </row>
    <row r="2" spans="1:8" x14ac:dyDescent="0.35">
      <c r="A2" s="6" t="s">
        <v>13</v>
      </c>
    </row>
    <row r="3" spans="1:8" x14ac:dyDescent="0.35">
      <c r="A3" s="6" t="s">
        <v>14</v>
      </c>
    </row>
    <row r="6" spans="1:8" ht="15" thickBot="1" x14ac:dyDescent="0.4">
      <c r="A6" t="s">
        <v>15</v>
      </c>
    </row>
    <row r="7" spans="1:8" x14ac:dyDescent="0.35">
      <c r="B7" s="9"/>
      <c r="C7" s="9"/>
      <c r="D7" s="9" t="s">
        <v>18</v>
      </c>
      <c r="E7" s="9" t="s">
        <v>20</v>
      </c>
      <c r="F7" s="9" t="s">
        <v>22</v>
      </c>
      <c r="G7" s="9" t="s">
        <v>24</v>
      </c>
      <c r="H7" s="9" t="s">
        <v>24</v>
      </c>
    </row>
    <row r="8" spans="1:8" ht="15" thickBot="1" x14ac:dyDescent="0.4">
      <c r="B8" s="10" t="s">
        <v>16</v>
      </c>
      <c r="C8" s="10" t="s">
        <v>17</v>
      </c>
      <c r="D8" s="10" t="s">
        <v>19</v>
      </c>
      <c r="E8" s="10" t="s">
        <v>21</v>
      </c>
      <c r="F8" s="10" t="s">
        <v>23</v>
      </c>
      <c r="G8" s="10" t="s">
        <v>25</v>
      </c>
      <c r="H8" s="10" t="s">
        <v>26</v>
      </c>
    </row>
    <row r="9" spans="1:8" x14ac:dyDescent="0.35">
      <c r="B9" s="7" t="s">
        <v>32</v>
      </c>
      <c r="C9" s="7" t="s">
        <v>33</v>
      </c>
      <c r="D9" s="7">
        <v>100</v>
      </c>
      <c r="E9" s="7">
        <v>0</v>
      </c>
      <c r="F9" s="7">
        <v>5</v>
      </c>
      <c r="G9" s="7">
        <v>1.3999999999999997</v>
      </c>
      <c r="H9" s="7">
        <v>0.20000000000000018</v>
      </c>
    </row>
    <row r="10" spans="1:8" ht="15" thickBot="1" x14ac:dyDescent="0.4">
      <c r="B10" s="8" t="s">
        <v>34</v>
      </c>
      <c r="C10" s="8" t="s">
        <v>35</v>
      </c>
      <c r="D10" s="8">
        <v>40</v>
      </c>
      <c r="E10" s="8">
        <v>0</v>
      </c>
      <c r="F10" s="8">
        <v>8</v>
      </c>
      <c r="G10" s="8">
        <v>0.33333333333333365</v>
      </c>
      <c r="H10" s="8">
        <v>1.7499999999999998</v>
      </c>
    </row>
    <row r="12" spans="1:8" ht="15" thickBot="1" x14ac:dyDescent="0.4">
      <c r="A12" t="s">
        <v>27</v>
      </c>
    </row>
    <row r="13" spans="1:8" x14ac:dyDescent="0.35">
      <c r="B13" s="9"/>
      <c r="C13" s="9"/>
      <c r="D13" s="9" t="s">
        <v>18</v>
      </c>
      <c r="E13" s="9" t="s">
        <v>28</v>
      </c>
      <c r="F13" s="9" t="s">
        <v>30</v>
      </c>
      <c r="G13" s="9" t="s">
        <v>24</v>
      </c>
      <c r="H13" s="9" t="s">
        <v>24</v>
      </c>
    </row>
    <row r="14" spans="1:8" ht="15" thickBot="1" x14ac:dyDescent="0.4">
      <c r="B14" s="10" t="s">
        <v>16</v>
      </c>
      <c r="C14" s="10" t="s">
        <v>17</v>
      </c>
      <c r="D14" s="10" t="s">
        <v>19</v>
      </c>
      <c r="E14" s="10" t="s">
        <v>29</v>
      </c>
      <c r="F14" s="10" t="s">
        <v>31</v>
      </c>
      <c r="G14" s="10" t="s">
        <v>25</v>
      </c>
      <c r="H14" s="10" t="s">
        <v>26</v>
      </c>
    </row>
    <row r="15" spans="1:8" x14ac:dyDescent="0.35">
      <c r="B15" s="7" t="s">
        <v>36</v>
      </c>
      <c r="C15" s="7" t="s">
        <v>5</v>
      </c>
      <c r="D15" s="7">
        <v>10000</v>
      </c>
      <c r="E15" s="7">
        <v>6.9999999999999993E-2</v>
      </c>
      <c r="F15" s="7">
        <v>10000</v>
      </c>
      <c r="G15" s="7">
        <v>2000</v>
      </c>
      <c r="H15" s="7">
        <v>1000</v>
      </c>
    </row>
    <row r="16" spans="1:8" ht="15" thickBot="1" x14ac:dyDescent="0.4">
      <c r="B16" s="8" t="s">
        <v>37</v>
      </c>
      <c r="C16" s="8" t="s">
        <v>6</v>
      </c>
      <c r="D16" s="8">
        <v>3000</v>
      </c>
      <c r="E16" s="8">
        <v>4.0000000000000036E-2</v>
      </c>
      <c r="F16" s="8">
        <v>3000</v>
      </c>
      <c r="G16" s="8">
        <v>333.33333333333337</v>
      </c>
      <c r="H16" s="8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A0C9-CA2D-4969-9E79-CE80C729D659}">
  <dimension ref="A1:J8"/>
  <sheetViews>
    <sheetView workbookViewId="0">
      <selection activeCell="B8" sqref="B8"/>
    </sheetView>
  </sheetViews>
  <sheetFormatPr defaultRowHeight="14.5" x14ac:dyDescent="0.35"/>
  <sheetData>
    <row r="1" spans="1:10" x14ac:dyDescent="0.35">
      <c r="B1" s="2" t="s">
        <v>0</v>
      </c>
      <c r="C1" s="2" t="s">
        <v>1</v>
      </c>
    </row>
    <row r="2" spans="1:10" x14ac:dyDescent="0.35">
      <c r="A2" s="2" t="s">
        <v>2</v>
      </c>
      <c r="B2" s="2">
        <v>5</v>
      </c>
      <c r="C2" s="2">
        <v>8</v>
      </c>
    </row>
    <row r="3" spans="1:10" x14ac:dyDescent="0.35">
      <c r="A3" s="2" t="s">
        <v>3</v>
      </c>
      <c r="B3" s="3">
        <v>100.05000000000001</v>
      </c>
      <c r="C3" s="3">
        <v>39.960000000000008</v>
      </c>
    </row>
    <row r="4" spans="1:10" x14ac:dyDescent="0.35">
      <c r="A4" s="2" t="s">
        <v>4</v>
      </c>
      <c r="B4" s="2" t="s">
        <v>7</v>
      </c>
      <c r="C4" s="4" t="s">
        <v>8</v>
      </c>
    </row>
    <row r="5" spans="1:10" x14ac:dyDescent="0.35">
      <c r="A5" s="2" t="s">
        <v>5</v>
      </c>
      <c r="B5" s="2">
        <v>60</v>
      </c>
      <c r="C5" s="2">
        <v>100</v>
      </c>
      <c r="D5" s="5">
        <f>SUMPRODUCT($B$3:$C$3,B5:C5)</f>
        <v>9999.0000000000018</v>
      </c>
      <c r="E5" s="2" t="s">
        <v>10</v>
      </c>
      <c r="F5" s="2">
        <v>9999</v>
      </c>
    </row>
    <row r="6" spans="1:10" x14ac:dyDescent="0.35">
      <c r="A6" s="2" t="s">
        <v>6</v>
      </c>
      <c r="B6" s="2">
        <v>20</v>
      </c>
      <c r="C6" s="2">
        <v>25</v>
      </c>
      <c r="D6" s="5">
        <f>SUMPRODUCT($B$3:$C$3,B6:C6)</f>
        <v>3000.0000000000005</v>
      </c>
      <c r="E6" s="2" t="s">
        <v>10</v>
      </c>
      <c r="F6" s="2">
        <v>3000</v>
      </c>
    </row>
    <row r="8" spans="1:10" x14ac:dyDescent="0.35">
      <c r="A8" s="2" t="s">
        <v>11</v>
      </c>
      <c r="B8" s="3">
        <f>SUMPRODUCT(B3:C3,B2:C2)</f>
        <v>819.93000000000006</v>
      </c>
      <c r="J8" s="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1511-0C8D-40F4-98A0-5B3761B45F94}">
  <dimension ref="A1:J8"/>
  <sheetViews>
    <sheetView tabSelected="1" workbookViewId="0">
      <selection activeCell="F9" sqref="F9"/>
    </sheetView>
  </sheetViews>
  <sheetFormatPr defaultRowHeight="14.5" x14ac:dyDescent="0.35"/>
  <sheetData>
    <row r="1" spans="1:10" x14ac:dyDescent="0.35">
      <c r="B1" s="2" t="s">
        <v>0</v>
      </c>
      <c r="C1" s="2" t="s">
        <v>38</v>
      </c>
    </row>
    <row r="2" spans="1:10" x14ac:dyDescent="0.35">
      <c r="A2" s="2" t="s">
        <v>11</v>
      </c>
      <c r="B2" s="11">
        <v>10</v>
      </c>
      <c r="C2" s="11">
        <v>9</v>
      </c>
    </row>
    <row r="3" spans="1:10" x14ac:dyDescent="0.35">
      <c r="A3" s="2" t="s">
        <v>3</v>
      </c>
      <c r="B3" s="3">
        <v>0</v>
      </c>
      <c r="C3" s="3">
        <v>0</v>
      </c>
    </row>
    <row r="4" spans="1:10" x14ac:dyDescent="0.35">
      <c r="A4" s="2" t="s">
        <v>4</v>
      </c>
      <c r="B4" s="2" t="s">
        <v>7</v>
      </c>
      <c r="C4" s="4" t="s">
        <v>39</v>
      </c>
    </row>
    <row r="5" spans="1:10" x14ac:dyDescent="0.35">
      <c r="A5" s="2" t="s">
        <v>5</v>
      </c>
      <c r="B5" s="2">
        <v>0.7</v>
      </c>
      <c r="C5" s="2">
        <v>1</v>
      </c>
      <c r="D5" s="5">
        <f>SUMPRODUCT($B$3:$C$3,B5:C5)</f>
        <v>0</v>
      </c>
      <c r="E5" s="2" t="s">
        <v>10</v>
      </c>
      <c r="F5" s="2">
        <v>630</v>
      </c>
    </row>
    <row r="6" spans="1:10" x14ac:dyDescent="0.35">
      <c r="A6" s="2" t="s">
        <v>6</v>
      </c>
      <c r="B6" s="2">
        <v>0.5</v>
      </c>
      <c r="C6" s="2">
        <v>0.83299999999999996</v>
      </c>
      <c r="D6" s="5">
        <f>SUMPRODUCT($B$3:$C$3,B6:C6)</f>
        <v>0</v>
      </c>
      <c r="E6" s="2" t="s">
        <v>10</v>
      </c>
      <c r="F6" s="2">
        <v>600</v>
      </c>
    </row>
    <row r="7" spans="1:10" x14ac:dyDescent="0.35">
      <c r="F7">
        <v>700</v>
      </c>
    </row>
    <row r="8" spans="1:10" x14ac:dyDescent="0.35">
      <c r="A8" s="2" t="s">
        <v>11</v>
      </c>
      <c r="B8" s="3">
        <f>SUMPRODUCT(B3:C3,B2:C2)</f>
        <v>0</v>
      </c>
      <c r="F8">
        <v>135</v>
      </c>
      <c r="J8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 de Sensibilidade 1</vt:lpstr>
      <vt:lpstr>Exercicio - Aula 4</vt:lpstr>
      <vt:lpstr>Planilha1 (2)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PONTES DE OLIVEIRA</dc:creator>
  <cp:lastModifiedBy>PAULO CESAR PONTES DE OLIVEIRA</cp:lastModifiedBy>
  <dcterms:created xsi:type="dcterms:W3CDTF">2026-03-09T22:49:13Z</dcterms:created>
  <dcterms:modified xsi:type="dcterms:W3CDTF">2026-03-10T00:36:04Z</dcterms:modified>
</cp:coreProperties>
</file>